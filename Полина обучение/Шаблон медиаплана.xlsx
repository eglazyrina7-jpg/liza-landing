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E:\Лекции\8\"/>
    </mc:Choice>
  </mc:AlternateContent>
  <xr:revisionPtr revIDLastSave="0" documentId="8_{0E6D22CE-6023-430C-834D-B1BB59838B31}" xr6:coauthVersionLast="45" xr6:coauthVersionMax="45" xr10:uidLastSave="{00000000-0000-0000-0000-000000000000}"/>
  <bookViews>
    <workbookView xWindow="29610" yWindow="-120" windowWidth="28110" windowHeight="164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1" l="1"/>
  <c r="B3" i="1" s="1"/>
  <c r="C4" i="1" l="1"/>
  <c r="C3" i="1" s="1"/>
  <c r="D7" i="1"/>
  <c r="B9" i="1" l="1"/>
  <c r="B10" i="1" s="1"/>
  <c r="C9" i="1"/>
  <c r="C10" i="1" s="1"/>
  <c r="D3" i="1"/>
  <c r="D4" i="1"/>
  <c r="D6" i="1" s="1"/>
  <c r="D5" i="1" l="1"/>
  <c r="D9" i="1"/>
  <c r="D8" i="1" s="1"/>
  <c r="D10" i="1" l="1"/>
</calcChain>
</file>

<file path=xl/sharedStrings.xml><?xml version="1.0" encoding="utf-8"?>
<sst xmlns="http://schemas.openxmlformats.org/spreadsheetml/2006/main" count="12" uniqueCount="12">
  <si>
    <t>Яндекс Поиск</t>
  </si>
  <si>
    <t>РСЯ + Ретаргетинг</t>
  </si>
  <si>
    <t>Всего</t>
  </si>
  <si>
    <t>Показы</t>
  </si>
  <si>
    <t>Клики</t>
  </si>
  <si>
    <t>CTR, %</t>
  </si>
  <si>
    <t>Средняя цена клика</t>
  </si>
  <si>
    <t>Расход, руб.</t>
  </si>
  <si>
    <t>Конверсия сайта, %</t>
  </si>
  <si>
    <t xml:space="preserve">Заявки и звонки </t>
  </si>
  <si>
    <t>Стоимость привлечения заявки/звонка</t>
  </si>
  <si>
    <t>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</si>
</sst>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0" fontId="0" fillId="0" borderId="13" xfId="0" applyBorder="1"/>
    <xf numFmtId="1" fontId="0" fillId="0" borderId="14" xfId="0" applyNumberFormat="1" applyBorder="1"/>
    <xf numFmtId="1" fontId="0" fillId="0" borderId="15" xfId="0" applyNumberFormat="1" applyBorder="1"/>
    <xf numFmtId="1" fontId="0" fillId="0" borderId="13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3" xfId="0" applyNumberFormat="1" applyBorder="1"/>
    <xf numFmtId="0" fontId="1" fillId="0" borderId="13" xfId="0" applyFont="1" applyBorder="1"/>
    <xf numFmtId="1" fontId="1" fillId="0" borderId="14" xfId="0" applyNumberFormat="1" applyFont="1" applyBorder="1"/>
    <xf numFmtId="1" fontId="1" fillId="0" borderId="15" xfId="0" applyNumberFormat="1" applyFont="1" applyBorder="1"/>
    <xf numFmtId="1" fontId="1" fillId="0" borderId="13" xfId="0" applyNumberFormat="1" applyFont="1" applyBorder="1"/>
    <xf numFmtId="0" fontId="0" fillId="0" borderId="16" xfId="0" applyBorder="1"/>
    <xf numFmtId="1" fontId="0" fillId="0" borderId="17" xfId="0" applyNumberFormat="1" applyBorder="1"/>
    <xf numFmtId="1" fontId="0" fillId="0" borderId="18" xfId="0" applyNumberFormat="1" applyBorder="1"/>
    <xf numFmtId="1" fontId="0" fillId="0" borderId="16" xfId="0" applyNumberFormat="1" applyBorder="1"/>
    <xf numFmtId="1" fontId="0" fillId="3" borderId="14" xfId="0" applyNumberFormat="1" applyFill="1" applyBorder="1"/>
    <xf numFmtId="1" fontId="0" fillId="3" borderId="15" xfId="0" applyNumberForma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164" fontId="0" fillId="3" borderId="14" xfId="0" applyNumberFormat="1" applyFill="1" applyBorder="1"/>
    <xf numFmtId="164" fontId="0" fillId="3" borderId="15" xfId="0" applyNumberFormat="1" applyFill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40" zoomScaleNormal="140" workbookViewId="0">
      <selection activeCell="D10" sqref="D10"/>
    </sheetView>
  </sheetViews>
  <sheetFormatPr defaultRowHeight="15" x14ac:dyDescent="0.25"/>
  <cols>
    <col min="1" max="1" width="35" bestFit="1" customWidth="1"/>
    <col min="2" max="2" width="12.85546875" bestFit="1" customWidth="1"/>
    <col min="3" max="3" width="16.5703125" bestFit="1" customWidth="1"/>
  </cols>
  <sheetData>
    <row r="1" spans="1:4" ht="15.75" thickBot="1" x14ac:dyDescent="0.3">
      <c r="A1" s="29"/>
      <c r="B1" s="31" t="s">
        <v>11</v>
      </c>
      <c r="C1" s="32"/>
      <c r="D1" s="33"/>
    </row>
    <row r="2" spans="1:4" ht="15.75" thickBot="1" x14ac:dyDescent="0.3">
      <c r="A2" s="30"/>
      <c r="B2" s="1" t="s">
        <v>0</v>
      </c>
      <c r="C2" s="2" t="s">
        <v>1</v>
      </c>
      <c r="D2" s="3" t="s">
        <v>2</v>
      </c>
    </row>
    <row r="3" spans="1:4" x14ac:dyDescent="0.25">
      <c r="A3" s="4" t="s">
        <v>3</v>
      </c>
      <c r="B3" s="5">
        <f>IFERROR(B4/B5,0)</f>
        <v>1822.9166666666667</v>
      </c>
      <c r="C3" s="6">
        <f t="shared" ref="C3" si="0">IFERROR(C4/C5,0)</f>
        <v>125000</v>
      </c>
      <c r="D3" s="7">
        <f>SUM(B3:C3)</f>
        <v>126822.91666666667</v>
      </c>
    </row>
    <row r="4" spans="1:4" x14ac:dyDescent="0.25">
      <c r="A4" s="8" t="s">
        <v>4</v>
      </c>
      <c r="B4" s="9">
        <f>IFERROR(B7/B6,0)</f>
        <v>218.75</v>
      </c>
      <c r="C4" s="10">
        <f t="shared" ref="C4" si="1">IFERROR(C7/C6,0)</f>
        <v>500</v>
      </c>
      <c r="D4" s="11">
        <f>SUM(B4:C4)</f>
        <v>718.75</v>
      </c>
    </row>
    <row r="5" spans="1:4" x14ac:dyDescent="0.25">
      <c r="A5" s="8" t="s">
        <v>5</v>
      </c>
      <c r="B5" s="12">
        <v>0.12</v>
      </c>
      <c r="C5" s="13">
        <v>4.0000000000000001E-3</v>
      </c>
      <c r="D5" s="14">
        <f>IFERROR(D4/D3,0)</f>
        <v>5.6673511293634498E-3</v>
      </c>
    </row>
    <row r="6" spans="1:4" x14ac:dyDescent="0.25">
      <c r="A6" s="8" t="s">
        <v>6</v>
      </c>
      <c r="B6" s="23">
        <v>32</v>
      </c>
      <c r="C6" s="24">
        <v>6</v>
      </c>
      <c r="D6" s="11">
        <f>IFERROR(D7/D4,0)</f>
        <v>13.913043478260869</v>
      </c>
    </row>
    <row r="7" spans="1:4" x14ac:dyDescent="0.25">
      <c r="A7" s="15" t="s">
        <v>7</v>
      </c>
      <c r="B7" s="25">
        <v>7000</v>
      </c>
      <c r="C7" s="26">
        <v>3000</v>
      </c>
      <c r="D7" s="15">
        <f>SUM(B7:C7)</f>
        <v>10000</v>
      </c>
    </row>
    <row r="8" spans="1:4" x14ac:dyDescent="0.25">
      <c r="A8" s="8" t="s">
        <v>8</v>
      </c>
      <c r="B8" s="27">
        <v>2.1000000000000001E-2</v>
      </c>
      <c r="C8" s="28">
        <v>1.4999999999999999E-2</v>
      </c>
      <c r="D8" s="14">
        <f>IFERROR(D9/D4,0)</f>
        <v>1.6826086956521741E-2</v>
      </c>
    </row>
    <row r="9" spans="1:4" x14ac:dyDescent="0.25">
      <c r="A9" s="15" t="s">
        <v>9</v>
      </c>
      <c r="B9" s="16">
        <f>B4*B8</f>
        <v>4.59375</v>
      </c>
      <c r="C9" s="17">
        <f t="shared" ref="C9" si="2">C4*C8</f>
        <v>7.5</v>
      </c>
      <c r="D9" s="18">
        <f>SUM(B9:C9)</f>
        <v>12.09375</v>
      </c>
    </row>
    <row r="10" spans="1:4" ht="15.75" thickBot="1" x14ac:dyDescent="0.3">
      <c r="A10" s="19" t="s">
        <v>10</v>
      </c>
      <c r="B10" s="20">
        <f>IFERROR(B7/B9,0)</f>
        <v>1523.8095238095239</v>
      </c>
      <c r="C10" s="21">
        <f t="shared" ref="C10" si="3">IFERROR(C7/C9,0)</f>
        <v>400</v>
      </c>
      <c r="D10" s="22">
        <f>IFERROR(D7/D9,0)</f>
        <v>826.87338501291993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Бондарева</dc:creator>
  <cp:lastModifiedBy>Илья Куклин</cp:lastModifiedBy>
  <dcterms:created xsi:type="dcterms:W3CDTF">2015-06-05T18:19:34Z</dcterms:created>
  <dcterms:modified xsi:type="dcterms:W3CDTF">2020-06-12T10:48:22Z</dcterms:modified>
</cp:coreProperties>
</file>